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年報\114\4.農林漁牧\114年公務統計報表\"/>
    </mc:Choice>
  </mc:AlternateContent>
  <xr:revisionPtr revIDLastSave="0" documentId="13_ncr:1_{E8DC5E90-082B-4059-A63E-C90E6F480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5" r:id="rId1"/>
  </sheets>
  <definedNames>
    <definedName name="_xlnm._FilterDatabase" localSheetId="0" hidden="1">sheet1!$A$5:$K$27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5" l="1"/>
  <c r="B10" i="5" s="1"/>
  <c r="V9" i="5"/>
  <c r="W9" i="5"/>
  <c r="X9" i="5"/>
  <c r="U9" i="5"/>
  <c r="T9" i="5"/>
  <c r="S9" i="5"/>
  <c r="R9" i="5"/>
  <c r="Q9" i="5"/>
  <c r="P9" i="5"/>
  <c r="O9" i="5"/>
  <c r="N9" i="5"/>
  <c r="M9" i="5"/>
  <c r="G10" i="5" l="1"/>
  <c r="C10" i="5" s="1"/>
  <c r="H10" i="5"/>
  <c r="D10" i="5" s="1"/>
  <c r="F11" i="5"/>
  <c r="B11" i="5" s="1"/>
  <c r="H11" i="5"/>
  <c r="D11" i="5" s="1"/>
  <c r="F12" i="5"/>
  <c r="B12" i="5" s="1"/>
  <c r="H12" i="5"/>
  <c r="D12" i="5" s="1"/>
  <c r="F13" i="5"/>
  <c r="B13" i="5" s="1"/>
  <c r="H13" i="5"/>
  <c r="D13" i="5" s="1"/>
  <c r="F14" i="5"/>
  <c r="B14" i="5" s="1"/>
  <c r="H14" i="5"/>
  <c r="D14" i="5" s="1"/>
  <c r="F15" i="5"/>
  <c r="B15" i="5" s="1"/>
  <c r="H15" i="5"/>
  <c r="D15" i="5" s="1"/>
  <c r="F16" i="5"/>
  <c r="B16" i="5" s="1"/>
  <c r="H16" i="5"/>
  <c r="D16" i="5" s="1"/>
  <c r="F17" i="5"/>
  <c r="B17" i="5" s="1"/>
  <c r="H17" i="5"/>
  <c r="D17" i="5" s="1"/>
  <c r="F18" i="5"/>
  <c r="B18" i="5" s="1"/>
  <c r="H18" i="5"/>
  <c r="D18" i="5" s="1"/>
  <c r="F19" i="5"/>
  <c r="B19" i="5" s="1"/>
  <c r="H19" i="5"/>
  <c r="D19" i="5" s="1"/>
  <c r="F20" i="5"/>
  <c r="B20" i="5" s="1"/>
  <c r="H20" i="5"/>
  <c r="D20" i="5" s="1"/>
  <c r="F21" i="5"/>
  <c r="B21" i="5" s="1"/>
  <c r="H21" i="5"/>
  <c r="D21" i="5" s="1"/>
  <c r="F22" i="5"/>
  <c r="B22" i="5" s="1"/>
  <c r="H22" i="5"/>
  <c r="D22" i="5" s="1"/>
  <c r="F23" i="5"/>
  <c r="B23" i="5" s="1"/>
  <c r="H23" i="5"/>
  <c r="D23" i="5" s="1"/>
  <c r="F24" i="5"/>
  <c r="B24" i="5" s="1"/>
  <c r="H24" i="5"/>
  <c r="D24" i="5" s="1"/>
  <c r="F25" i="5"/>
  <c r="B25" i="5" s="1"/>
  <c r="H25" i="5"/>
  <c r="D25" i="5" s="1"/>
  <c r="F26" i="5"/>
  <c r="B26" i="5" s="1"/>
  <c r="H26" i="5"/>
  <c r="D26" i="5" s="1"/>
  <c r="F27" i="5"/>
  <c r="B27" i="5" s="1"/>
  <c r="H27" i="5"/>
  <c r="D27" i="5" s="1"/>
  <c r="G25" i="5" l="1"/>
  <c r="C25" i="5" s="1"/>
  <c r="G27" i="5"/>
  <c r="C27" i="5" s="1"/>
  <c r="G17" i="5"/>
  <c r="C17" i="5" s="1"/>
  <c r="E17" i="5" s="1"/>
  <c r="E10" i="5"/>
  <c r="G14" i="5"/>
  <c r="C14" i="5" s="1"/>
  <c r="E14" i="5" s="1"/>
  <c r="G24" i="5"/>
  <c r="C24" i="5" s="1"/>
  <c r="G20" i="5"/>
  <c r="G23" i="5"/>
  <c r="C23" i="5" s="1"/>
  <c r="E23" i="5" s="1"/>
  <c r="G26" i="5"/>
  <c r="C26" i="5" s="1"/>
  <c r="G19" i="5"/>
  <c r="C19" i="5" s="1"/>
  <c r="E19" i="5" s="1"/>
  <c r="G22" i="5"/>
  <c r="C22" i="5" s="1"/>
  <c r="E22" i="5" s="1"/>
  <c r="G11" i="5"/>
  <c r="C11" i="5" s="1"/>
  <c r="E11" i="5" s="1"/>
  <c r="G16" i="5"/>
  <c r="C16" i="5" s="1"/>
  <c r="E16" i="5" s="1"/>
  <c r="G13" i="5"/>
  <c r="C13" i="5" s="1"/>
  <c r="E13" i="5" s="1"/>
  <c r="G21" i="5"/>
  <c r="G18" i="5"/>
  <c r="G15" i="5"/>
  <c r="G12" i="5"/>
  <c r="J9" i="5"/>
  <c r="I17" i="5" l="1"/>
  <c r="I10" i="5"/>
  <c r="I13" i="5"/>
  <c r="I22" i="5"/>
  <c r="I14" i="5"/>
  <c r="I19" i="5"/>
  <c r="I16" i="5"/>
  <c r="I23" i="5"/>
  <c r="I20" i="5"/>
  <c r="C20" i="5"/>
  <c r="E20" i="5" s="1"/>
  <c r="I11" i="5"/>
  <c r="C12" i="5"/>
  <c r="E12" i="5" s="1"/>
  <c r="I12" i="5"/>
  <c r="C15" i="5"/>
  <c r="E15" i="5" s="1"/>
  <c r="I15" i="5"/>
  <c r="C18" i="5"/>
  <c r="E18" i="5" s="1"/>
  <c r="I18" i="5"/>
  <c r="C21" i="5"/>
  <c r="E21" i="5" s="1"/>
  <c r="I21" i="5"/>
  <c r="K9" i="5"/>
  <c r="H9" i="5" l="1"/>
  <c r="D9" i="5"/>
  <c r="F9" i="5"/>
  <c r="B9" i="5" l="1"/>
  <c r="G9" i="5"/>
  <c r="I9" i="5" s="1"/>
  <c r="C9" i="5" l="1"/>
  <c r="E9" i="5" s="1"/>
</calcChain>
</file>

<file path=xl/sharedStrings.xml><?xml version="1.0" encoding="utf-8"?>
<sst xmlns="http://schemas.openxmlformats.org/spreadsheetml/2006/main" count="98" uniqueCount="53">
  <si>
    <t>總計</t>
  </si>
  <si>
    <t>水稻</t>
  </si>
  <si>
    <t>種植面積</t>
  </si>
  <si>
    <t>收穫面積</t>
  </si>
  <si>
    <t>產量</t>
  </si>
  <si>
    <t>每公頃
平均產量</t>
  </si>
  <si>
    <t>合計</t>
  </si>
  <si>
    <t>編製機關</t>
    <phoneticPr fontId="2" type="noConversion"/>
  </si>
  <si>
    <t>表　　號</t>
    <phoneticPr fontId="2" type="noConversion"/>
  </si>
  <si>
    <r>
      <t>公</t>
    </r>
    <r>
      <rPr>
        <sz val="14"/>
        <rFont val="Times New Roman"/>
        <family val="1"/>
      </rPr>
      <t xml:space="preserve"> </t>
    </r>
    <r>
      <rPr>
        <sz val="14"/>
        <rFont val="標楷體"/>
        <family val="4"/>
        <charset val="136"/>
      </rPr>
      <t>開</t>
    </r>
    <r>
      <rPr>
        <sz val="14"/>
        <rFont val="Times New Roman"/>
        <family val="1"/>
      </rPr>
      <t xml:space="preserve"> </t>
    </r>
    <r>
      <rPr>
        <sz val="14"/>
        <rFont val="標楷體"/>
        <family val="4"/>
        <charset val="136"/>
      </rPr>
      <t>類</t>
    </r>
    <phoneticPr fontId="2" type="noConversion"/>
  </si>
  <si>
    <r>
      <t>年</t>
    </r>
    <r>
      <rPr>
        <sz val="14"/>
        <rFont val="Times New Roman"/>
        <family val="1"/>
      </rPr>
      <t xml:space="preserve">    </t>
    </r>
    <r>
      <rPr>
        <sz val="14"/>
        <rFont val="標楷體"/>
        <family val="4"/>
        <charset val="136"/>
      </rPr>
      <t>報</t>
    </r>
    <phoneticPr fontId="2" type="noConversion"/>
  </si>
  <si>
    <t>行政區別</t>
    <phoneticPr fontId="1" type="noConversion"/>
  </si>
  <si>
    <r>
      <t>稉稻</t>
    </r>
    <r>
      <rPr>
        <sz val="14"/>
        <rFont val="Times New Roman"/>
        <family val="1"/>
      </rPr>
      <t>(</t>
    </r>
    <r>
      <rPr>
        <sz val="14"/>
        <rFont val="標楷體"/>
        <family val="4"/>
        <charset val="136"/>
      </rPr>
      <t>蓬萊</t>
    </r>
    <r>
      <rPr>
        <sz val="14"/>
        <rFont val="Times New Roman"/>
        <family val="1"/>
      </rPr>
      <t>)</t>
    </r>
    <phoneticPr fontId="1" type="noConversion"/>
  </si>
  <si>
    <r>
      <t>硬秈稻</t>
    </r>
    <r>
      <rPr>
        <sz val="14"/>
        <rFont val="Times New Roman"/>
        <family val="1"/>
      </rPr>
      <t>(</t>
    </r>
    <r>
      <rPr>
        <sz val="14"/>
        <rFont val="標楷體"/>
        <family val="4"/>
        <charset val="136"/>
      </rPr>
      <t>在來</t>
    </r>
    <r>
      <rPr>
        <sz val="14"/>
        <rFont val="Times New Roman"/>
        <family val="1"/>
      </rPr>
      <t>)</t>
    </r>
  </si>
  <si>
    <r>
      <t>軟秈稻</t>
    </r>
    <r>
      <rPr>
        <sz val="14"/>
        <rFont val="Times New Roman"/>
        <family val="1"/>
      </rPr>
      <t>(</t>
    </r>
    <r>
      <rPr>
        <sz val="14"/>
        <rFont val="標楷體"/>
        <family val="4"/>
        <charset val="136"/>
      </rPr>
      <t>秈稻</t>
    </r>
    <r>
      <rPr>
        <sz val="14"/>
        <rFont val="Times New Roman"/>
        <family val="1"/>
      </rPr>
      <t>)</t>
    </r>
  </si>
  <si>
    <r>
      <t>稉糯稻</t>
    </r>
    <r>
      <rPr>
        <sz val="14"/>
        <rFont val="Times New Roman"/>
        <family val="1"/>
      </rPr>
      <t>(</t>
    </r>
    <r>
      <rPr>
        <sz val="14"/>
        <rFont val="標楷體"/>
        <family val="4"/>
        <charset val="136"/>
      </rPr>
      <t>圓糯</t>
    </r>
    <r>
      <rPr>
        <sz val="14"/>
        <rFont val="Times New Roman"/>
        <family val="1"/>
      </rPr>
      <t>)</t>
    </r>
    <phoneticPr fontId="1" type="noConversion"/>
  </si>
  <si>
    <r>
      <t>秈糯稻</t>
    </r>
    <r>
      <rPr>
        <sz val="14"/>
        <rFont val="Times New Roman"/>
        <family val="1"/>
      </rPr>
      <t>(</t>
    </r>
    <r>
      <rPr>
        <sz val="14"/>
        <rFont val="標楷體"/>
        <family val="4"/>
        <charset val="136"/>
      </rPr>
      <t>長糯</t>
    </r>
    <r>
      <rPr>
        <sz val="14"/>
        <rFont val="Times New Roman"/>
        <family val="1"/>
      </rPr>
      <t>)</t>
    </r>
  </si>
  <si>
    <r>
      <t>總</t>
    </r>
    <r>
      <rPr>
        <sz val="14"/>
        <rFont val="Times New Roman"/>
        <family val="1"/>
      </rPr>
      <t xml:space="preserve">        </t>
    </r>
    <r>
      <rPr>
        <sz val="14"/>
        <rFont val="標楷體"/>
        <family val="4"/>
        <charset val="136"/>
      </rPr>
      <t>計</t>
    </r>
    <phoneticPr fontId="1" type="noConversion"/>
  </si>
  <si>
    <r>
      <t>次年</t>
    </r>
    <r>
      <rPr>
        <sz val="12"/>
        <rFont val="Times New Roman"/>
        <family val="1"/>
      </rPr>
      <t>6</t>
    </r>
    <r>
      <rPr>
        <sz val="12"/>
        <rFont val="標楷體"/>
        <family val="4"/>
        <charset val="136"/>
      </rPr>
      <t>月底前填報</t>
    </r>
    <phoneticPr fontId="1" type="noConversion"/>
  </si>
  <si>
    <t>太保市</t>
  </si>
  <si>
    <t>朴子市</t>
  </si>
  <si>
    <t>布袋鎮</t>
  </si>
  <si>
    <t>大林鎮</t>
  </si>
  <si>
    <t>民雄鄉</t>
  </si>
  <si>
    <t>溪口鄉</t>
  </si>
  <si>
    <t>新港鄉</t>
  </si>
  <si>
    <t>六腳鄉</t>
  </si>
  <si>
    <t>東石鄉</t>
  </si>
  <si>
    <t>義竹鄉</t>
  </si>
  <si>
    <t>鹿草鄉</t>
  </si>
  <si>
    <t>水上鄉</t>
  </si>
  <si>
    <t>中埔鄉</t>
  </si>
  <si>
    <t>竹崎鄉</t>
  </si>
  <si>
    <t>梅山鄉</t>
  </si>
  <si>
    <t>番路鄉</t>
  </si>
  <si>
    <t>大埔鄉</t>
  </si>
  <si>
    <t>阿里山鄉</t>
  </si>
  <si>
    <t>嘉義縣政府(農業處)</t>
    <phoneticPr fontId="2" type="noConversion"/>
  </si>
  <si>
    <r>
      <t>嘉義縣稻米生產概況</t>
    </r>
    <r>
      <rPr>
        <sz val="20"/>
        <rFont val="Times New Roman"/>
        <family val="1"/>
      </rPr>
      <t xml:space="preserve"> </t>
    </r>
    <phoneticPr fontId="1" type="noConversion"/>
  </si>
  <si>
    <r>
      <t>嘉義縣稻米生產概況</t>
    </r>
    <r>
      <rPr>
        <sz val="20"/>
        <rFont val="Times New Roman"/>
        <family val="1"/>
      </rPr>
      <t xml:space="preserve"> (</t>
    </r>
    <r>
      <rPr>
        <sz val="20"/>
        <rFont val="標楷體"/>
        <family val="4"/>
        <charset val="136"/>
      </rPr>
      <t>續）</t>
    </r>
    <r>
      <rPr>
        <b/>
        <sz val="20"/>
        <rFont val="Times New Roman"/>
        <family val="1"/>
      </rPr>
      <t/>
    </r>
    <phoneticPr fontId="2" type="noConversion"/>
  </si>
  <si>
    <t>填表</t>
    <phoneticPr fontId="2" type="noConversion"/>
  </si>
  <si>
    <t>審核</t>
    <phoneticPr fontId="2" type="noConversion"/>
  </si>
  <si>
    <t>業務主管人員</t>
    <phoneticPr fontId="2" type="noConversion"/>
  </si>
  <si>
    <r>
      <t>機關首長</t>
    </r>
    <r>
      <rPr>
        <sz val="12"/>
        <rFont val="Times New Roman"/>
        <family val="1"/>
      </rPr>
      <t xml:space="preserve">   </t>
    </r>
    <phoneticPr fontId="2" type="noConversion"/>
  </si>
  <si>
    <t>主辦統計人員</t>
    <phoneticPr fontId="2" type="noConversion"/>
  </si>
  <si>
    <t>填表說明：本表編製一式二份，一份送本府主計處，一份自存。</t>
    <phoneticPr fontId="2" type="noConversion"/>
  </si>
  <si>
    <t>20321-02-01</t>
    <phoneticPr fontId="2" type="noConversion"/>
  </si>
  <si>
    <t>番路鄉</t>
    <phoneticPr fontId="1" type="noConversion"/>
  </si>
  <si>
    <t>大埔鄉</t>
    <phoneticPr fontId="1" type="noConversion"/>
  </si>
  <si>
    <r>
      <t xml:space="preserve"> 資料來源：依據</t>
    </r>
    <r>
      <rPr>
        <sz val="12"/>
        <color indexed="10"/>
        <rFont val="標楷體"/>
        <family val="4"/>
        <charset val="136"/>
      </rPr>
      <t>農業部</t>
    </r>
    <r>
      <rPr>
        <sz val="12"/>
        <rFont val="標楷體"/>
        <family val="4"/>
        <charset val="136"/>
      </rPr>
      <t>農糧署「農情報告資源網」資料彙編。</t>
    </r>
    <phoneticPr fontId="2" type="noConversion"/>
  </si>
  <si>
    <t>陸稻</t>
    <phoneticPr fontId="1" type="noConversion"/>
  </si>
  <si>
    <t>中華民國114年</t>
    <phoneticPr fontId="1" type="noConversion"/>
  </si>
  <si>
    <r>
      <t>中華民國</t>
    </r>
    <r>
      <rPr>
        <sz val="12"/>
        <rFont val="Times New Roman"/>
        <family val="1"/>
      </rPr>
      <t>115</t>
    </r>
    <r>
      <rPr>
        <sz val="12"/>
        <rFont val="標楷體"/>
        <family val="4"/>
        <charset val="136"/>
      </rPr>
      <t>年</t>
    </r>
    <r>
      <rPr>
        <sz val="12"/>
        <rFont val="Times New Roman"/>
        <family val="1"/>
      </rPr>
      <t>6</t>
    </r>
    <r>
      <rPr>
        <sz val="12"/>
        <rFont val="標楷體"/>
        <family val="4"/>
        <charset val="136"/>
      </rPr>
      <t>月</t>
    </r>
    <r>
      <rPr>
        <sz val="12"/>
        <rFont val="Times New Roman"/>
        <family val="1"/>
      </rPr>
      <t>25</t>
    </r>
    <r>
      <rPr>
        <sz val="12"/>
        <rFont val="標楷體"/>
        <family val="4"/>
        <charset val="136"/>
      </rPr>
      <t>日編製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</si>
</sst>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#.00;#.00;&quot;-&quot;;"/>
    <numFmt numFmtId="177" formatCode="#,##0.00;#.00;&quot;-&quot;;"/>
  </numFmts>
  <fonts count="11" x14ac:knownFonts="1">
    <font>
      <sz val="12"/>
      <name val="新細明體"/>
      <family val="1"/>
      <charset val="136"/>
    </font>
    <font>
      <sz val="14"/>
      <name val="標楷體"/>
      <family val="4"/>
      <charset val="136"/>
    </font>
    <font>
      <sz val="9"/>
      <name val="新細明體"/>
      <family val="1"/>
      <charset val="136"/>
    </font>
    <font>
      <sz val="14"/>
      <name val="Times New Roman"/>
      <family val="1"/>
    </font>
    <font>
      <sz val="12"/>
      <name val="標楷體"/>
      <family val="4"/>
      <charset val="136"/>
    </font>
    <font>
      <b/>
      <sz val="20"/>
      <name val="Times New Roman"/>
      <family val="1"/>
    </font>
    <font>
      <sz val="12"/>
      <name val="Times New Roman"/>
      <family val="1"/>
    </font>
    <font>
      <sz val="12"/>
      <name val="新細明體"/>
      <family val="1"/>
      <charset val="136"/>
    </font>
    <font>
      <sz val="20"/>
      <name val="標楷體"/>
      <family val="4"/>
      <charset val="136"/>
    </font>
    <font>
      <sz val="20"/>
      <name val="Times New Roman"/>
      <family val="1"/>
    </font>
    <font>
      <sz val="12"/>
      <color indexed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3" fontId="7" fillId="0" borderId="0" applyFont="0" applyFill="0" applyBorder="0" applyAlignment="0" applyProtection="0"/>
  </cellStyleXfs>
  <cellXfs count="8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justifyLastLine="1"/>
    </xf>
    <xf numFmtId="0" fontId="4" fillId="0" borderId="2" xfId="0" applyNumberFormat="1" applyFont="1" applyBorder="1" applyAlignment="1">
      <alignment vertical="center"/>
    </xf>
    <xf numFmtId="49" fontId="1" fillId="0" borderId="1" xfId="3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distributed" vertical="center" justifyLastLine="1"/>
    </xf>
    <xf numFmtId="41" fontId="6" fillId="0" borderId="0" xfId="0" applyNumberFormat="1" applyFont="1"/>
    <xf numFmtId="41" fontId="6" fillId="0" borderId="0" xfId="0" applyNumberFormat="1" applyFont="1" applyAlignment="1">
      <alignment horizontal="center"/>
    </xf>
    <xf numFmtId="41" fontId="4" fillId="0" borderId="0" xfId="0" applyNumberFormat="1" applyFont="1" applyBorder="1" applyAlignment="1" applyProtection="1">
      <alignment horizontal="left"/>
      <protection locked="0"/>
    </xf>
    <xf numFmtId="41" fontId="4" fillId="0" borderId="0" xfId="0" applyNumberFormat="1" applyFont="1" applyAlignment="1">
      <alignment horizontal="right"/>
    </xf>
    <xf numFmtId="41" fontId="4" fillId="0" borderId="0" xfId="0" applyNumberFormat="1" applyFont="1" applyAlignment="1">
      <alignment horizontal="left"/>
    </xf>
    <xf numFmtId="41" fontId="4" fillId="0" borderId="0" xfId="0" applyNumberFormat="1" applyFont="1" applyBorder="1" applyAlignment="1"/>
    <xf numFmtId="0" fontId="1" fillId="0" borderId="5" xfId="0" applyFont="1" applyBorder="1" applyAlignment="1">
      <alignment horizontal="center" vertical="center" justifyLastLine="1"/>
    </xf>
    <xf numFmtId="0" fontId="4" fillId="0" borderId="0" xfId="2" applyFont="1" applyBorder="1" applyAlignment="1">
      <alignment horizontal="right" vertical="center"/>
    </xf>
    <xf numFmtId="41" fontId="3" fillId="0" borderId="6" xfId="0" applyNumberFormat="1" applyFont="1" applyBorder="1" applyAlignment="1">
      <alignment horizontal="right" vertical="center"/>
    </xf>
    <xf numFmtId="41" fontId="3" fillId="0" borderId="0" xfId="0" applyNumberFormat="1" applyFont="1" applyBorder="1" applyAlignment="1">
      <alignment horizontal="right" vertical="center"/>
    </xf>
    <xf numFmtId="41" fontId="3" fillId="0" borderId="0" xfId="4" applyNumberFormat="1" applyFont="1" applyBorder="1" applyAlignment="1">
      <alignment horizontal="right" vertical="center"/>
    </xf>
    <xf numFmtId="41" fontId="3" fillId="0" borderId="3" xfId="4" applyNumberFormat="1" applyFont="1" applyBorder="1" applyAlignment="1">
      <alignment horizontal="right" vertical="center"/>
    </xf>
    <xf numFmtId="41" fontId="3" fillId="0" borderId="3" xfId="0" applyNumberFormat="1" applyFont="1" applyBorder="1" applyAlignment="1">
      <alignment horizontal="right" vertical="center"/>
    </xf>
    <xf numFmtId="0" fontId="1" fillId="0" borderId="7" xfId="1" applyFont="1" applyFill="1" applyBorder="1" applyAlignment="1">
      <alignment horizontal="center" vertical="center" shrinkToFit="1"/>
    </xf>
    <xf numFmtId="0" fontId="1" fillId="0" borderId="8" xfId="1" applyFont="1" applyFill="1" applyBorder="1" applyAlignment="1">
      <alignment horizontal="center" vertical="center" shrinkToFit="1"/>
    </xf>
    <xf numFmtId="41" fontId="3" fillId="0" borderId="0" xfId="0" applyNumberFormat="1" applyFont="1" applyFill="1" applyBorder="1" applyAlignment="1">
      <alignment horizontal="right" vertical="center"/>
    </xf>
    <xf numFmtId="41" fontId="3" fillId="0" borderId="0" xfId="4" applyNumberFormat="1" applyFont="1" applyFill="1" applyBorder="1" applyAlignment="1">
      <alignment horizontal="right" vertical="center"/>
    </xf>
    <xf numFmtId="176" fontId="3" fillId="0" borderId="0" xfId="0" applyNumberFormat="1" applyFont="1"/>
    <xf numFmtId="177" fontId="3" fillId="0" borderId="6" xfId="0" applyNumberFormat="1" applyFont="1" applyBorder="1" applyAlignment="1">
      <alignment horizontal="right" vertical="center"/>
    </xf>
    <xf numFmtId="177" fontId="3" fillId="0" borderId="0" xfId="0" applyNumberFormat="1" applyFont="1" applyBorder="1" applyAlignment="1">
      <alignment horizontal="right" vertical="center"/>
    </xf>
    <xf numFmtId="177" fontId="3" fillId="0" borderId="3" xfId="0" applyNumberFormat="1" applyFont="1" applyBorder="1" applyAlignment="1">
      <alignment horizontal="right" vertical="center"/>
    </xf>
    <xf numFmtId="177" fontId="3" fillId="0" borderId="0" xfId="0" applyNumberFormat="1" applyFont="1" applyFill="1" applyBorder="1" applyAlignment="1">
      <alignment horizontal="right" vertical="center"/>
    </xf>
    <xf numFmtId="177" fontId="3" fillId="0" borderId="0" xfId="4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justifyLastLine="1"/>
    </xf>
    <xf numFmtId="0" fontId="1" fillId="0" borderId="1" xfId="0" applyFont="1" applyFill="1" applyBorder="1" applyAlignment="1">
      <alignment horizontal="center" vertical="center" wrapText="1" justifyLastLine="1"/>
    </xf>
    <xf numFmtId="0" fontId="1" fillId="0" borderId="4" xfId="0" applyFont="1" applyFill="1" applyBorder="1" applyAlignment="1">
      <alignment horizontal="center" vertical="center" justifyLastLine="1"/>
    </xf>
    <xf numFmtId="0" fontId="4" fillId="0" borderId="0" xfId="0" applyNumberFormat="1" applyFont="1" applyAlignment="1">
      <alignment horizontal="left"/>
    </xf>
    <xf numFmtId="41" fontId="3" fillId="0" borderId="2" xfId="4" applyNumberFormat="1" applyFont="1" applyBorder="1" applyAlignment="1">
      <alignment horizontal="right" vertical="center"/>
    </xf>
    <xf numFmtId="41" fontId="3" fillId="0" borderId="3" xfId="4" applyNumberFormat="1" applyFont="1" applyFill="1" applyBorder="1" applyAlignment="1">
      <alignment horizontal="right" vertical="center"/>
    </xf>
    <xf numFmtId="43" fontId="3" fillId="0" borderId="3" xfId="4" applyNumberFormat="1" applyFont="1" applyBorder="1" applyAlignment="1">
      <alignment horizontal="right" vertical="center"/>
    </xf>
    <xf numFmtId="43" fontId="3" fillId="0" borderId="0" xfId="0" applyNumberFormat="1" applyFont="1" applyFill="1" applyBorder="1" applyAlignment="1">
      <alignment horizontal="right" vertical="center"/>
    </xf>
    <xf numFmtId="0" fontId="1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justifyLastLine="1"/>
    </xf>
    <xf numFmtId="0" fontId="3" fillId="0" borderId="1" xfId="0" applyFont="1" applyBorder="1" applyAlignment="1">
      <alignment horizontal="center" vertical="center" justifyLastLine="1"/>
    </xf>
    <xf numFmtId="0" fontId="3" fillId="0" borderId="0" xfId="0" applyFont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justifyLastLine="1"/>
    </xf>
    <xf numFmtId="0" fontId="3" fillId="0" borderId="7" xfId="0" applyFont="1" applyBorder="1" applyAlignment="1">
      <alignment horizontal="center" vertical="center" justifyLastLine="1"/>
    </xf>
    <xf numFmtId="0" fontId="3" fillId="0" borderId="8" xfId="0" applyFont="1" applyBorder="1" applyAlignment="1">
      <alignment horizontal="center" vertical="center" justifyLastLine="1"/>
    </xf>
    <xf numFmtId="0" fontId="1" fillId="0" borderId="12" xfId="0" applyFont="1" applyBorder="1" applyAlignment="1">
      <alignment horizontal="center" vertical="center" wrapText="1" justifyLastLine="1"/>
    </xf>
    <xf numFmtId="0" fontId="3" fillId="0" borderId="13" xfId="0" applyFont="1" applyBorder="1" applyAlignment="1">
      <alignment horizontal="center" vertical="center" justifyLastLine="1"/>
    </xf>
    <xf numFmtId="0" fontId="1" fillId="0" borderId="4" xfId="0" applyFont="1" applyBorder="1" applyAlignment="1">
      <alignment horizontal="center" vertical="center" justifyLastLine="1"/>
    </xf>
    <xf numFmtId="0" fontId="3" fillId="0" borderId="11" xfId="0" applyFont="1" applyBorder="1" applyAlignment="1">
      <alignment horizontal="center" vertical="center" justifyLastLine="1"/>
    </xf>
    <xf numFmtId="0" fontId="3" fillId="0" borderId="10" xfId="0" applyFont="1" applyBorder="1" applyAlignment="1">
      <alignment horizontal="center" vertical="center" justifyLastLine="1"/>
    </xf>
    <xf numFmtId="49" fontId="3" fillId="0" borderId="4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1" fontId="6" fillId="0" borderId="0" xfId="0" applyNumberFormat="1" applyFont="1" applyBorder="1" applyAlignment="1" applyProtection="1">
      <alignment horizontal="left"/>
      <protection locked="0"/>
    </xf>
    <xf numFmtId="0" fontId="1" fillId="0" borderId="4" xfId="0" quotePrefix="1" applyFont="1" applyFill="1" applyBorder="1" applyAlignment="1">
      <alignment horizontal="center" vertical="center" wrapText="1" justifyLastLine="1"/>
    </xf>
    <xf numFmtId="0" fontId="3" fillId="0" borderId="10" xfId="0" applyFont="1" applyFill="1" applyBorder="1" applyAlignment="1">
      <alignment horizontal="center" vertical="center" wrapText="1" justifyLastLine="1"/>
    </xf>
    <xf numFmtId="0" fontId="1" fillId="0" borderId="9" xfId="0" applyFont="1" applyFill="1" applyBorder="1" applyAlignment="1">
      <alignment horizontal="center" vertical="center" wrapText="1" justifyLastLine="1"/>
    </xf>
    <xf numFmtId="0" fontId="3" fillId="0" borderId="5" xfId="0" applyFont="1" applyFill="1" applyBorder="1" applyAlignment="1">
      <alignment horizontal="center" vertical="center" wrapText="1" justifyLastLine="1"/>
    </xf>
    <xf numFmtId="0" fontId="1" fillId="0" borderId="4" xfId="0" applyFont="1" applyFill="1" applyBorder="1" applyAlignment="1">
      <alignment horizontal="center" vertical="center" justifyLastLine="1"/>
    </xf>
    <xf numFmtId="0" fontId="3" fillId="0" borderId="11" xfId="0" applyFont="1" applyFill="1" applyBorder="1" applyAlignment="1">
      <alignment horizontal="center" vertical="center" justifyLastLine="1"/>
    </xf>
    <xf numFmtId="0" fontId="1" fillId="0" borderId="5" xfId="0" applyFont="1" applyFill="1" applyBorder="1" applyAlignment="1">
      <alignment horizontal="center" vertical="center" justifyLastLine="1"/>
    </xf>
    <xf numFmtId="0" fontId="3" fillId="0" borderId="7" xfId="0" applyFont="1" applyFill="1" applyBorder="1" applyAlignment="1">
      <alignment horizontal="center" vertical="center" justifyLastLine="1"/>
    </xf>
    <xf numFmtId="0" fontId="3" fillId="0" borderId="8" xfId="0" applyFont="1" applyFill="1" applyBorder="1" applyAlignment="1">
      <alignment horizontal="center" vertical="center" justifyLastLine="1"/>
    </xf>
    <xf numFmtId="0" fontId="1" fillId="0" borderId="1" xfId="0" applyFont="1" applyFill="1" applyBorder="1" applyAlignment="1">
      <alignment horizontal="center" vertical="center" justifyLastLine="1"/>
    </xf>
    <xf numFmtId="0" fontId="3" fillId="0" borderId="1" xfId="0" applyFont="1" applyFill="1" applyBorder="1" applyAlignment="1">
      <alignment horizontal="center" vertical="center" justifyLastLine="1"/>
    </xf>
    <xf numFmtId="0" fontId="1" fillId="0" borderId="4" xfId="0" quotePrefix="1" applyFont="1" applyFill="1" applyBorder="1" applyAlignment="1">
      <alignment horizontal="center" vertical="center" justifyLastLine="1"/>
    </xf>
    <xf numFmtId="0" fontId="3" fillId="0" borderId="10" xfId="0" applyFont="1" applyFill="1" applyBorder="1" applyAlignment="1">
      <alignment horizontal="center" vertical="center" justifyLastLine="1"/>
    </xf>
    <xf numFmtId="0" fontId="1" fillId="0" borderId="9" xfId="0" applyFont="1" applyBorder="1" applyAlignment="1">
      <alignment horizontal="center" vertical="center" wrapText="1" justifyLastLine="1"/>
    </xf>
    <xf numFmtId="0" fontId="3" fillId="0" borderId="2" xfId="0" applyFont="1" applyBorder="1" applyAlignment="1">
      <alignment horizontal="center" vertical="center" justifyLastLine="1"/>
    </xf>
    <xf numFmtId="0" fontId="1" fillId="0" borderId="0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5">
    <cellStyle name="一般" xfId="0" builtinId="0"/>
    <cellStyle name="一般_9805" xfId="1" xr:uid="{00000000-0005-0000-0000-000001000000}"/>
    <cellStyle name="一般_Book3" xfId="2" xr:uid="{00000000-0005-0000-0000-000002000000}"/>
    <cellStyle name="一般_複本 1517-03-06" xfId="3" xr:uid="{00000000-0005-0000-0000-000003000000}"/>
    <cellStyle name="千分位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1057275</xdr:colOff>
      <xdr:row>2</xdr:row>
      <xdr:rowOff>190500</xdr:rowOff>
    </xdr:from>
    <xdr:to>
      <xdr:col>11</xdr:col>
      <xdr:colOff>0</xdr:colOff>
      <xdr:row>4</xdr:row>
      <xdr:rowOff>253443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10462260" y="815340"/>
          <a:ext cx="2567940" cy="6934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單位：面積─公頃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　　　每公頃平均產量─糙米公斤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　　　產量─糙米公斤</a:t>
          </a:r>
        </a:p>
      </xdr:txBody>
    </xdr:sp>
    <xdr:clientData/>
  </xdr:twoCellAnchor>
  <xdr:twoCellAnchor>
    <xdr:from>
      <xdr:col>21</xdr:col>
      <xdr:colOff>500380</xdr:colOff>
      <xdr:row>2</xdr:row>
      <xdr:rowOff>190500</xdr:rowOff>
    </xdr:from>
    <xdr:to>
      <xdr:col>23</xdr:col>
      <xdr:colOff>1225588</xdr:colOff>
      <xdr:row>4</xdr:row>
      <xdr:rowOff>243840</xdr:rowOff>
    </xdr:to>
    <xdr:sp macro="" textlink="">
      <xdr:nvSpPr>
        <xdr:cNvPr id="6145" name="Text Box 1">
          <a:extLs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SpPr txBox="1">
          <a:spLocks noChangeArrowheads="1"/>
        </xdr:cNvSpPr>
      </xdr:nvSpPr>
      <xdr:spPr bwMode="auto">
        <a:xfrm>
          <a:off x="10797540" y="815340"/>
          <a:ext cx="2667000" cy="69342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單位：面積─公頃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　　　每公頃平均產量─糙米公斤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　　　產量─糙米公斤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"/>
  <sheetViews>
    <sheetView tabSelected="1" zoomScale="77" zoomScaleNormal="77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"/>
    </sheetView>
  </sheetViews>
  <sheetFormatPr defaultColWidth="9" defaultRowHeight="18.75" x14ac:dyDescent="0.3"/>
  <cols>
    <col min="1" max="11" width="19.125" style="1" customWidth="1"/>
    <col min="12" max="24" width="16.625" style="1" customWidth="1"/>
    <col min="25" max="16384" width="9" style="1"/>
  </cols>
  <sheetData>
    <row r="1" spans="1:24" s="8" customFormat="1" ht="24.95" customHeight="1" x14ac:dyDescent="0.3">
      <c r="A1" s="4" t="s">
        <v>9</v>
      </c>
      <c r="B1" s="7"/>
      <c r="I1" s="6" t="s">
        <v>7</v>
      </c>
      <c r="J1" s="43" t="s">
        <v>37</v>
      </c>
      <c r="K1" s="44"/>
      <c r="L1" s="4" t="s">
        <v>9</v>
      </c>
      <c r="M1" s="7"/>
      <c r="V1" s="6" t="s">
        <v>7</v>
      </c>
      <c r="W1" s="43" t="s">
        <v>37</v>
      </c>
      <c r="X1" s="44"/>
    </row>
    <row r="2" spans="1:24" s="8" customFormat="1" ht="24.95" customHeight="1" x14ac:dyDescent="0.3">
      <c r="A2" s="3" t="s">
        <v>10</v>
      </c>
      <c r="B2" s="5" t="s">
        <v>18</v>
      </c>
      <c r="C2" s="9"/>
      <c r="D2" s="9"/>
      <c r="E2" s="9"/>
      <c r="F2" s="9"/>
      <c r="G2" s="9"/>
      <c r="H2" s="9"/>
      <c r="I2" s="6" t="s">
        <v>8</v>
      </c>
      <c r="J2" s="60" t="s">
        <v>46</v>
      </c>
      <c r="K2" s="61"/>
      <c r="L2" s="3" t="s">
        <v>10</v>
      </c>
      <c r="M2" s="5" t="s">
        <v>18</v>
      </c>
      <c r="N2" s="9"/>
      <c r="O2" s="9"/>
      <c r="P2" s="9"/>
      <c r="Q2" s="9"/>
      <c r="R2" s="9"/>
      <c r="S2" s="9"/>
      <c r="T2" s="9"/>
      <c r="U2" s="9"/>
      <c r="V2" s="6" t="s">
        <v>8</v>
      </c>
      <c r="W2" s="60" t="s">
        <v>46</v>
      </c>
      <c r="X2" s="61"/>
    </row>
    <row r="3" spans="1:24" s="10" customFormat="1" ht="36.75" customHeight="1" x14ac:dyDescent="0.4">
      <c r="A3" s="50" t="s">
        <v>38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0" t="s">
        <v>39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</row>
    <row r="4" spans="1:24" s="8" customFormat="1" ht="14.25" customHeight="1" x14ac:dyDescent="0.25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</row>
    <row r="5" spans="1:24" s="8" customFormat="1" ht="24.95" customHeight="1" x14ac:dyDescent="0.25">
      <c r="A5" s="48" t="s">
        <v>51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78" t="s">
        <v>51</v>
      </c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</row>
    <row r="6" spans="1:24" s="8" customFormat="1" ht="21.95" customHeight="1" x14ac:dyDescent="0.25">
      <c r="A6" s="52" t="s">
        <v>11</v>
      </c>
      <c r="B6" s="57" t="s">
        <v>0</v>
      </c>
      <c r="C6" s="58"/>
      <c r="D6" s="58"/>
      <c r="E6" s="59"/>
      <c r="F6" s="67" t="s">
        <v>1</v>
      </c>
      <c r="G6" s="68"/>
      <c r="H6" s="68"/>
      <c r="I6" s="68"/>
      <c r="J6" s="68"/>
      <c r="K6" s="68"/>
      <c r="L6" s="69" t="s">
        <v>11</v>
      </c>
      <c r="M6" s="67" t="s">
        <v>1</v>
      </c>
      <c r="N6" s="68"/>
      <c r="O6" s="68"/>
      <c r="P6" s="68"/>
      <c r="Q6" s="68"/>
      <c r="R6" s="68"/>
      <c r="S6" s="68"/>
      <c r="T6" s="75"/>
      <c r="U6" s="57" t="s">
        <v>50</v>
      </c>
      <c r="V6" s="58"/>
      <c r="W6" s="58"/>
      <c r="X6" s="58"/>
    </row>
    <row r="7" spans="1:24" s="8" customFormat="1" ht="21.95" customHeight="1" x14ac:dyDescent="0.25">
      <c r="A7" s="53"/>
      <c r="B7" s="45" t="s">
        <v>2</v>
      </c>
      <c r="C7" s="45" t="s">
        <v>3</v>
      </c>
      <c r="D7" s="45" t="s">
        <v>4</v>
      </c>
      <c r="E7" s="55" t="s">
        <v>5</v>
      </c>
      <c r="F7" s="72" t="s">
        <v>6</v>
      </c>
      <c r="G7" s="73"/>
      <c r="H7" s="73"/>
      <c r="I7" s="73"/>
      <c r="J7" s="74" t="s">
        <v>12</v>
      </c>
      <c r="K7" s="68"/>
      <c r="L7" s="70"/>
      <c r="M7" s="65" t="s">
        <v>13</v>
      </c>
      <c r="N7" s="66"/>
      <c r="O7" s="65" t="s">
        <v>14</v>
      </c>
      <c r="P7" s="66"/>
      <c r="Q7" s="63" t="s">
        <v>15</v>
      </c>
      <c r="R7" s="64"/>
      <c r="S7" s="65" t="s">
        <v>16</v>
      </c>
      <c r="T7" s="66"/>
      <c r="U7" s="45" t="s">
        <v>2</v>
      </c>
      <c r="V7" s="45" t="s">
        <v>3</v>
      </c>
      <c r="W7" s="45" t="s">
        <v>4</v>
      </c>
      <c r="X7" s="76" t="s">
        <v>5</v>
      </c>
    </row>
    <row r="8" spans="1:24" s="8" customFormat="1" ht="44.1" customHeight="1" x14ac:dyDescent="0.25">
      <c r="A8" s="54"/>
      <c r="B8" s="46"/>
      <c r="C8" s="46"/>
      <c r="D8" s="46"/>
      <c r="E8" s="56"/>
      <c r="F8" s="35" t="s">
        <v>2</v>
      </c>
      <c r="G8" s="35" t="s">
        <v>3</v>
      </c>
      <c r="H8" s="35" t="s">
        <v>4</v>
      </c>
      <c r="I8" s="36" t="s">
        <v>5</v>
      </c>
      <c r="J8" s="35" t="s">
        <v>3</v>
      </c>
      <c r="K8" s="37" t="s">
        <v>4</v>
      </c>
      <c r="L8" s="71"/>
      <c r="M8" s="35" t="s">
        <v>3</v>
      </c>
      <c r="N8" s="35" t="s">
        <v>4</v>
      </c>
      <c r="O8" s="35" t="s">
        <v>3</v>
      </c>
      <c r="P8" s="35" t="s">
        <v>4</v>
      </c>
      <c r="Q8" s="35" t="s">
        <v>3</v>
      </c>
      <c r="R8" s="35" t="s">
        <v>4</v>
      </c>
      <c r="S8" s="35" t="s">
        <v>3</v>
      </c>
      <c r="T8" s="35" t="s">
        <v>4</v>
      </c>
      <c r="U8" s="46"/>
      <c r="V8" s="46"/>
      <c r="W8" s="46"/>
      <c r="X8" s="77"/>
    </row>
    <row r="9" spans="1:24" s="8" customFormat="1" ht="24.95" customHeight="1" x14ac:dyDescent="0.25">
      <c r="A9" s="18" t="s">
        <v>17</v>
      </c>
      <c r="B9" s="30">
        <f>SUM(B10:B27)</f>
        <v>25284.34</v>
      </c>
      <c r="C9" s="30">
        <f>SUM(C10:C27)</f>
        <v>25284.34</v>
      </c>
      <c r="D9" s="20">
        <f>SUM(D10:D27)</f>
        <v>149982238</v>
      </c>
      <c r="E9" s="30">
        <f>D9/C9</f>
        <v>5931.8233341269734</v>
      </c>
      <c r="F9" s="30">
        <f>SUM(F10:F27)</f>
        <v>25284.34</v>
      </c>
      <c r="G9" s="30">
        <f>SUM(G10:G27)</f>
        <v>25284.34</v>
      </c>
      <c r="H9" s="20">
        <f t="shared" ref="H9:T9" si="0">SUM(H10:H27)</f>
        <v>149982238</v>
      </c>
      <c r="I9" s="30">
        <f>H9/G9</f>
        <v>5931.8233341269734</v>
      </c>
      <c r="J9" s="30">
        <f>SUM(J10:J27)</f>
        <v>24247.080000000005</v>
      </c>
      <c r="K9" s="20">
        <f t="shared" si="0"/>
        <v>143651938</v>
      </c>
      <c r="L9" s="18" t="s">
        <v>17</v>
      </c>
      <c r="M9" s="30">
        <f>SUM(M10:M27)</f>
        <v>463.96000000000004</v>
      </c>
      <c r="N9" s="20">
        <f t="shared" si="0"/>
        <v>2946204</v>
      </c>
      <c r="O9" s="30">
        <f>SUM(O10:O27)</f>
        <v>75.150000000000006</v>
      </c>
      <c r="P9" s="20">
        <f t="shared" si="0"/>
        <v>470272</v>
      </c>
      <c r="Q9" s="30">
        <f>SUM(Q10:Q27)</f>
        <v>176</v>
      </c>
      <c r="R9" s="20">
        <f t="shared" si="0"/>
        <v>872949</v>
      </c>
      <c r="S9" s="30">
        <f>SUM(S10:S27)</f>
        <v>322.14999999999998</v>
      </c>
      <c r="T9" s="20">
        <f t="shared" si="0"/>
        <v>2040875</v>
      </c>
      <c r="U9" s="22">
        <f>SUM(U10:U27)</f>
        <v>0</v>
      </c>
      <c r="V9" s="22">
        <f t="shared" ref="V9:X9" si="1">SUM(V10:V27)</f>
        <v>0</v>
      </c>
      <c r="W9" s="22">
        <f t="shared" si="1"/>
        <v>0</v>
      </c>
      <c r="X9" s="22">
        <f t="shared" si="1"/>
        <v>0</v>
      </c>
    </row>
    <row r="10" spans="1:24" s="8" customFormat="1" ht="24.95" customHeight="1" x14ac:dyDescent="0.25">
      <c r="A10" s="25" t="s">
        <v>19</v>
      </c>
      <c r="B10" s="31">
        <f>F10+U10</f>
        <v>2982.04</v>
      </c>
      <c r="C10" s="31">
        <f>G10+V10</f>
        <v>2982.04</v>
      </c>
      <c r="D10" s="21">
        <f>H10+W10</f>
        <v>17388676</v>
      </c>
      <c r="E10" s="31">
        <f>D10/C10</f>
        <v>5831.1343912221164</v>
      </c>
      <c r="F10" s="31">
        <f>J10+M10+O10+Q10+S10</f>
        <v>2982.04</v>
      </c>
      <c r="G10" s="31">
        <f>F10</f>
        <v>2982.04</v>
      </c>
      <c r="H10" s="21">
        <f>K10+N10+P10+R10+T10</f>
        <v>17388676</v>
      </c>
      <c r="I10" s="31">
        <f>H10/G10</f>
        <v>5831.1343912221164</v>
      </c>
      <c r="J10" s="33">
        <v>2757.04</v>
      </c>
      <c r="K10" s="27">
        <v>16212716</v>
      </c>
      <c r="L10" s="25" t="s">
        <v>19</v>
      </c>
      <c r="M10" s="33">
        <v>225</v>
      </c>
      <c r="N10" s="27">
        <v>1175960</v>
      </c>
      <c r="O10" s="28">
        <v>0</v>
      </c>
      <c r="P10" s="28">
        <v>0</v>
      </c>
      <c r="Q10" s="27">
        <v>0</v>
      </c>
      <c r="R10" s="27">
        <v>0</v>
      </c>
      <c r="S10" s="28">
        <v>0</v>
      </c>
      <c r="T10" s="28">
        <v>0</v>
      </c>
      <c r="U10" s="22">
        <v>0</v>
      </c>
      <c r="V10" s="22">
        <v>0</v>
      </c>
      <c r="W10" s="22">
        <v>0</v>
      </c>
      <c r="X10" s="22">
        <v>0</v>
      </c>
    </row>
    <row r="11" spans="1:24" s="11" customFormat="1" ht="24.95" customHeight="1" x14ac:dyDescent="0.25">
      <c r="A11" s="25" t="s">
        <v>20</v>
      </c>
      <c r="B11" s="31">
        <f t="shared" ref="B11:B27" si="2">F11+U11</f>
        <v>1523.74</v>
      </c>
      <c r="C11" s="31">
        <f t="shared" ref="C11:C27" si="3">G11+V11</f>
        <v>1523.74</v>
      </c>
      <c r="D11" s="21">
        <f t="shared" ref="D11:D27" si="4">H11+W11</f>
        <v>10330529</v>
      </c>
      <c r="E11" s="31">
        <f t="shared" ref="E11:E23" si="5">D11/C11</f>
        <v>6779.7189809285046</v>
      </c>
      <c r="F11" s="31">
        <f t="shared" ref="F11:F27" si="6">J11+M11+O11+Q11+S11</f>
        <v>1523.74</v>
      </c>
      <c r="G11" s="31">
        <f t="shared" ref="G11:G27" si="7">F11</f>
        <v>1523.74</v>
      </c>
      <c r="H11" s="21">
        <f t="shared" ref="H11:H27" si="8">K11+N11+P11+R11+T11</f>
        <v>10330529</v>
      </c>
      <c r="I11" s="31">
        <f t="shared" ref="I11:I23" si="9">H11/G11</f>
        <v>6779.7189809285046</v>
      </c>
      <c r="J11" s="33">
        <v>1393.74</v>
      </c>
      <c r="K11" s="27">
        <v>9550369</v>
      </c>
      <c r="L11" s="25" t="s">
        <v>20</v>
      </c>
      <c r="M11" s="22">
        <v>0</v>
      </c>
      <c r="N11" s="22">
        <v>0</v>
      </c>
      <c r="O11" s="34">
        <v>75</v>
      </c>
      <c r="P11" s="28">
        <v>469575</v>
      </c>
      <c r="Q11" s="22">
        <v>0</v>
      </c>
      <c r="R11" s="22">
        <v>0</v>
      </c>
      <c r="S11" s="34">
        <v>55</v>
      </c>
      <c r="T11" s="28">
        <v>310585</v>
      </c>
      <c r="U11" s="22">
        <v>0</v>
      </c>
      <c r="V11" s="22">
        <v>0</v>
      </c>
      <c r="W11" s="22">
        <v>0</v>
      </c>
      <c r="X11" s="22">
        <v>0</v>
      </c>
    </row>
    <row r="12" spans="1:24" s="8" customFormat="1" ht="24.95" customHeight="1" x14ac:dyDescent="0.25">
      <c r="A12" s="25" t="s">
        <v>21</v>
      </c>
      <c r="B12" s="31">
        <f t="shared" si="2"/>
        <v>679.65000000000009</v>
      </c>
      <c r="C12" s="31">
        <f t="shared" si="3"/>
        <v>679.65000000000009</v>
      </c>
      <c r="D12" s="21">
        <f t="shared" si="4"/>
        <v>4359854</v>
      </c>
      <c r="E12" s="31">
        <f t="shared" si="5"/>
        <v>6414.8517619362901</v>
      </c>
      <c r="F12" s="31">
        <f t="shared" si="6"/>
        <v>679.65000000000009</v>
      </c>
      <c r="G12" s="31">
        <f t="shared" si="7"/>
        <v>679.65000000000009</v>
      </c>
      <c r="H12" s="21">
        <f t="shared" si="8"/>
        <v>4359854</v>
      </c>
      <c r="I12" s="31">
        <f t="shared" si="9"/>
        <v>6414.8517619362901</v>
      </c>
      <c r="J12" s="33">
        <v>679.65000000000009</v>
      </c>
      <c r="K12" s="27">
        <v>4359854</v>
      </c>
      <c r="L12" s="25" t="s">
        <v>21</v>
      </c>
      <c r="M12" s="22">
        <v>0</v>
      </c>
      <c r="N12" s="22">
        <v>0</v>
      </c>
      <c r="O12" s="22">
        <v>0</v>
      </c>
      <c r="P12" s="22">
        <v>0</v>
      </c>
      <c r="Q12" s="28">
        <v>0</v>
      </c>
      <c r="R12" s="28">
        <v>0</v>
      </c>
      <c r="S12" s="28">
        <v>0</v>
      </c>
      <c r="T12" s="28">
        <v>0</v>
      </c>
      <c r="U12" s="22">
        <v>0</v>
      </c>
      <c r="V12" s="22">
        <v>0</v>
      </c>
      <c r="W12" s="22">
        <v>0</v>
      </c>
      <c r="X12" s="22">
        <v>0</v>
      </c>
    </row>
    <row r="13" spans="1:24" s="8" customFormat="1" ht="24.95" customHeight="1" x14ac:dyDescent="0.25">
      <c r="A13" s="25" t="s">
        <v>22</v>
      </c>
      <c r="B13" s="31">
        <f t="shared" si="2"/>
        <v>2697.85</v>
      </c>
      <c r="C13" s="31">
        <f t="shared" si="3"/>
        <v>2697.85</v>
      </c>
      <c r="D13" s="21">
        <f t="shared" si="4"/>
        <v>16686842</v>
      </c>
      <c r="E13" s="31">
        <f t="shared" si="5"/>
        <v>6185.2371332727917</v>
      </c>
      <c r="F13" s="31">
        <f t="shared" si="6"/>
        <v>2697.85</v>
      </c>
      <c r="G13" s="31">
        <f t="shared" si="7"/>
        <v>2697.85</v>
      </c>
      <c r="H13" s="21">
        <f t="shared" si="8"/>
        <v>16686842</v>
      </c>
      <c r="I13" s="31">
        <f t="shared" si="9"/>
        <v>6185.2371332727917</v>
      </c>
      <c r="J13" s="33">
        <v>2564.85</v>
      </c>
      <c r="K13" s="27">
        <v>15825000</v>
      </c>
      <c r="L13" s="25" t="s">
        <v>22</v>
      </c>
      <c r="M13" s="22">
        <v>0</v>
      </c>
      <c r="N13" s="22">
        <v>0</v>
      </c>
      <c r="O13" s="22">
        <v>0</v>
      </c>
      <c r="P13" s="22">
        <v>0</v>
      </c>
      <c r="Q13" s="33">
        <v>8</v>
      </c>
      <c r="R13" s="27">
        <v>60912</v>
      </c>
      <c r="S13" s="33">
        <v>125</v>
      </c>
      <c r="T13" s="27">
        <v>800930</v>
      </c>
      <c r="U13" s="22">
        <v>0</v>
      </c>
      <c r="V13" s="22">
        <v>0</v>
      </c>
      <c r="W13" s="22">
        <v>0</v>
      </c>
      <c r="X13" s="22">
        <v>0</v>
      </c>
    </row>
    <row r="14" spans="1:24" s="8" customFormat="1" ht="24.95" customHeight="1" x14ac:dyDescent="0.25">
      <c r="A14" s="25" t="s">
        <v>23</v>
      </c>
      <c r="B14" s="31">
        <f t="shared" si="2"/>
        <v>4656.6399999999994</v>
      </c>
      <c r="C14" s="31">
        <f t="shared" si="3"/>
        <v>4656.6399999999994</v>
      </c>
      <c r="D14" s="21">
        <f t="shared" si="4"/>
        <v>27762627</v>
      </c>
      <c r="E14" s="31">
        <f t="shared" si="5"/>
        <v>5961.9440197223757</v>
      </c>
      <c r="F14" s="31">
        <f t="shared" si="6"/>
        <v>4656.6399999999994</v>
      </c>
      <c r="G14" s="31">
        <f t="shared" si="7"/>
        <v>4656.6399999999994</v>
      </c>
      <c r="H14" s="21">
        <f t="shared" si="8"/>
        <v>27762627</v>
      </c>
      <c r="I14" s="31">
        <f t="shared" si="9"/>
        <v>5961.9440197223757</v>
      </c>
      <c r="J14" s="33">
        <v>4656.6399999999994</v>
      </c>
      <c r="K14" s="27">
        <v>27762627</v>
      </c>
      <c r="L14" s="25" t="s">
        <v>23</v>
      </c>
      <c r="M14" s="22">
        <v>0</v>
      </c>
      <c r="N14" s="22">
        <v>0</v>
      </c>
      <c r="O14" s="22">
        <v>0</v>
      </c>
      <c r="P14" s="22">
        <v>0</v>
      </c>
      <c r="Q14" s="28">
        <v>0</v>
      </c>
      <c r="R14" s="28">
        <v>0</v>
      </c>
      <c r="S14" s="28">
        <v>0</v>
      </c>
      <c r="T14" s="28">
        <v>0</v>
      </c>
      <c r="U14" s="22">
        <v>0</v>
      </c>
      <c r="V14" s="22">
        <v>0</v>
      </c>
      <c r="W14" s="22">
        <v>0</v>
      </c>
      <c r="X14" s="22">
        <v>0</v>
      </c>
    </row>
    <row r="15" spans="1:24" s="8" customFormat="1" ht="24.95" customHeight="1" x14ac:dyDescent="0.25">
      <c r="A15" s="25" t="s">
        <v>24</v>
      </c>
      <c r="B15" s="31">
        <f>F15+U15</f>
        <v>3389.11</v>
      </c>
      <c r="C15" s="31">
        <f t="shared" si="3"/>
        <v>3389.11</v>
      </c>
      <c r="D15" s="21">
        <f t="shared" si="4"/>
        <v>19886122</v>
      </c>
      <c r="E15" s="31">
        <f t="shared" si="5"/>
        <v>5867.6531596790892</v>
      </c>
      <c r="F15" s="31">
        <f t="shared" si="6"/>
        <v>3389.11</v>
      </c>
      <c r="G15" s="31">
        <f t="shared" si="7"/>
        <v>3389.11</v>
      </c>
      <c r="H15" s="21">
        <f t="shared" si="8"/>
        <v>19886122</v>
      </c>
      <c r="I15" s="31">
        <f t="shared" si="9"/>
        <v>5867.6531596790892</v>
      </c>
      <c r="J15" s="33">
        <v>3309.11</v>
      </c>
      <c r="K15" s="27">
        <v>19416762</v>
      </c>
      <c r="L15" s="25" t="s">
        <v>24</v>
      </c>
      <c r="M15" s="22">
        <v>0</v>
      </c>
      <c r="N15" s="22">
        <v>0</v>
      </c>
      <c r="O15" s="22">
        <v>0</v>
      </c>
      <c r="P15" s="22">
        <v>0</v>
      </c>
      <c r="Q15" s="33">
        <v>30</v>
      </c>
      <c r="R15" s="27">
        <v>172460</v>
      </c>
      <c r="S15" s="33">
        <v>50</v>
      </c>
      <c r="T15" s="27">
        <v>296900</v>
      </c>
      <c r="U15" s="22">
        <v>0</v>
      </c>
      <c r="V15" s="22">
        <v>0</v>
      </c>
      <c r="W15" s="22">
        <v>0</v>
      </c>
      <c r="X15" s="22">
        <v>0</v>
      </c>
    </row>
    <row r="16" spans="1:24" s="8" customFormat="1" ht="24.95" customHeight="1" x14ac:dyDescent="0.25">
      <c r="A16" s="25" t="s">
        <v>25</v>
      </c>
      <c r="B16" s="31">
        <f t="shared" si="2"/>
        <v>4173.3</v>
      </c>
      <c r="C16" s="31">
        <f t="shared" si="3"/>
        <v>4173.3</v>
      </c>
      <c r="D16" s="21">
        <f t="shared" si="4"/>
        <v>24533567</v>
      </c>
      <c r="E16" s="31">
        <f t="shared" si="5"/>
        <v>5878.6971940670446</v>
      </c>
      <c r="F16" s="31">
        <f t="shared" si="6"/>
        <v>4173.3</v>
      </c>
      <c r="G16" s="31">
        <f t="shared" si="7"/>
        <v>4173.3</v>
      </c>
      <c r="H16" s="21">
        <f t="shared" si="8"/>
        <v>24533567</v>
      </c>
      <c r="I16" s="31">
        <f t="shared" si="9"/>
        <v>5878.6971940670446</v>
      </c>
      <c r="J16" s="33">
        <v>3945.3</v>
      </c>
      <c r="K16" s="27">
        <v>23272496</v>
      </c>
      <c r="L16" s="25" t="s">
        <v>25</v>
      </c>
      <c r="M16" s="22">
        <v>0</v>
      </c>
      <c r="N16" s="22">
        <v>0</v>
      </c>
      <c r="O16" s="22">
        <v>0</v>
      </c>
      <c r="P16" s="22">
        <v>0</v>
      </c>
      <c r="Q16" s="33">
        <v>136</v>
      </c>
      <c r="R16" s="27">
        <v>629307</v>
      </c>
      <c r="S16" s="33">
        <v>92</v>
      </c>
      <c r="T16" s="27">
        <v>631764</v>
      </c>
      <c r="U16" s="22">
        <v>0</v>
      </c>
      <c r="V16" s="22">
        <v>0</v>
      </c>
      <c r="W16" s="22">
        <v>0</v>
      </c>
      <c r="X16" s="22">
        <v>0</v>
      </c>
    </row>
    <row r="17" spans="1:24" s="8" customFormat="1" ht="24.95" customHeight="1" x14ac:dyDescent="0.25">
      <c r="A17" s="25" t="s">
        <v>26</v>
      </c>
      <c r="B17" s="31">
        <f t="shared" si="2"/>
        <v>368.89</v>
      </c>
      <c r="C17" s="31">
        <f t="shared" si="3"/>
        <v>368.89</v>
      </c>
      <c r="D17" s="21">
        <f t="shared" si="4"/>
        <v>1784046</v>
      </c>
      <c r="E17" s="31">
        <f t="shared" si="5"/>
        <v>4836.2547100761749</v>
      </c>
      <c r="F17" s="31">
        <f t="shared" si="6"/>
        <v>368.89</v>
      </c>
      <c r="G17" s="31">
        <f t="shared" si="7"/>
        <v>368.89</v>
      </c>
      <c r="H17" s="21">
        <f t="shared" si="8"/>
        <v>1784046</v>
      </c>
      <c r="I17" s="31">
        <f t="shared" si="9"/>
        <v>4836.2547100761749</v>
      </c>
      <c r="J17" s="33">
        <v>368.89</v>
      </c>
      <c r="K17" s="27">
        <v>1784046</v>
      </c>
      <c r="L17" s="25" t="s">
        <v>26</v>
      </c>
      <c r="M17" s="22">
        <v>0</v>
      </c>
      <c r="N17" s="22">
        <v>0</v>
      </c>
      <c r="O17" s="22">
        <v>0</v>
      </c>
      <c r="P17" s="22">
        <v>0</v>
      </c>
      <c r="Q17" s="34">
        <v>0</v>
      </c>
      <c r="R17" s="28">
        <v>0</v>
      </c>
      <c r="S17" s="28">
        <v>0</v>
      </c>
      <c r="T17" s="28">
        <v>0</v>
      </c>
      <c r="U17" s="22">
        <v>0</v>
      </c>
      <c r="V17" s="22">
        <v>0</v>
      </c>
      <c r="W17" s="22">
        <v>0</v>
      </c>
      <c r="X17" s="22">
        <v>0</v>
      </c>
    </row>
    <row r="18" spans="1:24" s="8" customFormat="1" ht="24.95" customHeight="1" x14ac:dyDescent="0.25">
      <c r="A18" s="25" t="s">
        <v>27</v>
      </c>
      <c r="B18" s="31">
        <f t="shared" si="2"/>
        <v>286.19</v>
      </c>
      <c r="C18" s="31">
        <f t="shared" si="3"/>
        <v>286.19</v>
      </c>
      <c r="D18" s="21">
        <f t="shared" si="4"/>
        <v>1357962</v>
      </c>
      <c r="E18" s="31">
        <f t="shared" si="5"/>
        <v>4744.9666305601177</v>
      </c>
      <c r="F18" s="31">
        <f t="shared" si="6"/>
        <v>286.19</v>
      </c>
      <c r="G18" s="31">
        <f t="shared" si="7"/>
        <v>286.19</v>
      </c>
      <c r="H18" s="21">
        <f t="shared" si="8"/>
        <v>1357962</v>
      </c>
      <c r="I18" s="31">
        <f t="shared" si="9"/>
        <v>4744.9666305601177</v>
      </c>
      <c r="J18" s="33">
        <v>286.19</v>
      </c>
      <c r="K18" s="27">
        <v>1357962</v>
      </c>
      <c r="L18" s="25" t="s">
        <v>27</v>
      </c>
      <c r="M18" s="22">
        <v>0</v>
      </c>
      <c r="N18" s="22">
        <v>0</v>
      </c>
      <c r="O18" s="22">
        <v>0</v>
      </c>
      <c r="P18" s="22">
        <v>0</v>
      </c>
      <c r="Q18" s="28">
        <v>0</v>
      </c>
      <c r="R18" s="28">
        <v>0</v>
      </c>
      <c r="S18" s="28">
        <v>0</v>
      </c>
      <c r="T18" s="28">
        <v>0</v>
      </c>
      <c r="U18" s="22">
        <v>0</v>
      </c>
      <c r="V18" s="22">
        <v>0</v>
      </c>
      <c r="W18" s="22">
        <v>0</v>
      </c>
      <c r="X18" s="22">
        <v>0</v>
      </c>
    </row>
    <row r="19" spans="1:24" s="8" customFormat="1" ht="24.95" customHeight="1" x14ac:dyDescent="0.25">
      <c r="A19" s="25" t="s">
        <v>28</v>
      </c>
      <c r="B19" s="31">
        <f t="shared" si="2"/>
        <v>138.47</v>
      </c>
      <c r="C19" s="31">
        <f t="shared" si="3"/>
        <v>138.47</v>
      </c>
      <c r="D19" s="21">
        <f t="shared" si="4"/>
        <v>941200</v>
      </c>
      <c r="E19" s="31">
        <f t="shared" si="5"/>
        <v>6797.140174767098</v>
      </c>
      <c r="F19" s="31">
        <f t="shared" si="6"/>
        <v>138.47</v>
      </c>
      <c r="G19" s="31">
        <f t="shared" si="7"/>
        <v>138.47</v>
      </c>
      <c r="H19" s="21">
        <f t="shared" si="8"/>
        <v>941200</v>
      </c>
      <c r="I19" s="31">
        <f t="shared" si="9"/>
        <v>6797.140174767098</v>
      </c>
      <c r="J19" s="33">
        <v>138.47</v>
      </c>
      <c r="K19" s="27">
        <v>941200</v>
      </c>
      <c r="L19" s="25" t="s">
        <v>28</v>
      </c>
      <c r="M19" s="22">
        <v>0</v>
      </c>
      <c r="N19" s="22">
        <v>0</v>
      </c>
      <c r="O19" s="22">
        <v>0</v>
      </c>
      <c r="P19" s="22">
        <v>0</v>
      </c>
      <c r="Q19" s="28">
        <v>0</v>
      </c>
      <c r="R19" s="28">
        <v>0</v>
      </c>
      <c r="S19" s="28">
        <v>0</v>
      </c>
      <c r="T19" s="28">
        <v>0</v>
      </c>
      <c r="U19" s="22">
        <v>0</v>
      </c>
      <c r="V19" s="22">
        <v>0</v>
      </c>
      <c r="W19" s="22">
        <v>0</v>
      </c>
      <c r="X19" s="22">
        <v>0</v>
      </c>
    </row>
    <row r="20" spans="1:24" s="8" customFormat="1" ht="24.95" customHeight="1" x14ac:dyDescent="0.25">
      <c r="A20" s="25" t="s">
        <v>29</v>
      </c>
      <c r="B20" s="31">
        <f t="shared" si="2"/>
        <v>2478.92</v>
      </c>
      <c r="C20" s="31">
        <f t="shared" si="3"/>
        <v>2478.92</v>
      </c>
      <c r="D20" s="21">
        <f t="shared" si="4"/>
        <v>14106811</v>
      </c>
      <c r="E20" s="31">
        <f t="shared" si="5"/>
        <v>5690.7084536814418</v>
      </c>
      <c r="F20" s="31">
        <f t="shared" si="6"/>
        <v>2478.92</v>
      </c>
      <c r="G20" s="31">
        <f t="shared" si="7"/>
        <v>2478.92</v>
      </c>
      <c r="H20" s="21">
        <f t="shared" si="8"/>
        <v>14106811</v>
      </c>
      <c r="I20" s="31">
        <f t="shared" si="9"/>
        <v>5690.7084536814418</v>
      </c>
      <c r="J20" s="33">
        <v>2478.92</v>
      </c>
      <c r="K20" s="27">
        <v>14106811</v>
      </c>
      <c r="L20" s="25" t="s">
        <v>29</v>
      </c>
      <c r="M20" s="22">
        <v>0</v>
      </c>
      <c r="N20" s="21">
        <v>0</v>
      </c>
      <c r="O20" s="22">
        <v>0</v>
      </c>
      <c r="P20" s="22">
        <v>0</v>
      </c>
      <c r="Q20" s="28">
        <v>0</v>
      </c>
      <c r="R20" s="28">
        <v>0</v>
      </c>
      <c r="S20" s="28">
        <v>0</v>
      </c>
      <c r="T20" s="28">
        <v>0</v>
      </c>
      <c r="U20" s="22">
        <v>0</v>
      </c>
      <c r="V20" s="22">
        <v>0</v>
      </c>
      <c r="W20" s="22">
        <v>0</v>
      </c>
      <c r="X20" s="22">
        <v>0</v>
      </c>
    </row>
    <row r="21" spans="1:24" s="8" customFormat="1" ht="24.95" customHeight="1" x14ac:dyDescent="0.25">
      <c r="A21" s="25" t="s">
        <v>30</v>
      </c>
      <c r="B21" s="31">
        <f t="shared" si="2"/>
        <v>1806.28</v>
      </c>
      <c r="C21" s="31">
        <f t="shared" si="3"/>
        <v>1806.28</v>
      </c>
      <c r="D21" s="21">
        <f t="shared" si="4"/>
        <v>10203129</v>
      </c>
      <c r="E21" s="31">
        <f t="shared" si="5"/>
        <v>5648.6973226742257</v>
      </c>
      <c r="F21" s="31">
        <f t="shared" si="6"/>
        <v>1806.28</v>
      </c>
      <c r="G21" s="31">
        <f t="shared" si="7"/>
        <v>1806.28</v>
      </c>
      <c r="H21" s="21">
        <f t="shared" si="8"/>
        <v>10203129</v>
      </c>
      <c r="I21" s="31">
        <f t="shared" si="9"/>
        <v>5648.6973226742257</v>
      </c>
      <c r="J21" s="33">
        <v>1654.18</v>
      </c>
      <c r="K21" s="27">
        <v>8984933</v>
      </c>
      <c r="L21" s="25" t="s">
        <v>30</v>
      </c>
      <c r="M21" s="34">
        <v>150.1</v>
      </c>
      <c r="N21" s="28">
        <v>1207926</v>
      </c>
      <c r="O21" s="22">
        <v>0</v>
      </c>
      <c r="P21" s="22">
        <v>0</v>
      </c>
      <c r="Q21" s="42">
        <v>2</v>
      </c>
      <c r="R21" s="27">
        <v>10270</v>
      </c>
      <c r="S21" s="28">
        <v>0</v>
      </c>
      <c r="T21" s="28">
        <v>0</v>
      </c>
      <c r="U21" s="22">
        <v>0</v>
      </c>
      <c r="V21" s="22">
        <v>0</v>
      </c>
      <c r="W21" s="22">
        <v>0</v>
      </c>
      <c r="X21" s="22">
        <v>0</v>
      </c>
    </row>
    <row r="22" spans="1:24" s="8" customFormat="1" ht="24.95" customHeight="1" x14ac:dyDescent="0.25">
      <c r="A22" s="25" t="s">
        <v>31</v>
      </c>
      <c r="B22" s="31">
        <f t="shared" si="2"/>
        <v>80.41</v>
      </c>
      <c r="C22" s="31">
        <f t="shared" si="3"/>
        <v>80.41</v>
      </c>
      <c r="D22" s="21">
        <f t="shared" si="4"/>
        <v>515320</v>
      </c>
      <c r="E22" s="31">
        <f t="shared" si="5"/>
        <v>6408.6556398457906</v>
      </c>
      <c r="F22" s="31">
        <f t="shared" si="6"/>
        <v>80.41</v>
      </c>
      <c r="G22" s="31">
        <f t="shared" si="7"/>
        <v>80.41</v>
      </c>
      <c r="H22" s="21">
        <f t="shared" si="8"/>
        <v>515320</v>
      </c>
      <c r="I22" s="31">
        <f t="shared" si="9"/>
        <v>6408.6556398457906</v>
      </c>
      <c r="J22" s="33">
        <v>13.29</v>
      </c>
      <c r="K22" s="27">
        <v>73268</v>
      </c>
      <c r="L22" s="25" t="s">
        <v>31</v>
      </c>
      <c r="M22" s="33">
        <v>67.12</v>
      </c>
      <c r="N22" s="27">
        <v>442052</v>
      </c>
      <c r="O22" s="22">
        <v>0</v>
      </c>
      <c r="P22" s="22">
        <v>0</v>
      </c>
      <c r="Q22" s="28">
        <v>0</v>
      </c>
      <c r="R22" s="28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</row>
    <row r="23" spans="1:24" s="8" customFormat="1" ht="24.95" customHeight="1" x14ac:dyDescent="0.25">
      <c r="A23" s="25" t="s">
        <v>32</v>
      </c>
      <c r="B23" s="31">
        <f t="shared" si="2"/>
        <v>22.549999999999997</v>
      </c>
      <c r="C23" s="31">
        <f t="shared" si="3"/>
        <v>22.549999999999997</v>
      </c>
      <c r="D23" s="21">
        <f t="shared" si="4"/>
        <v>124160</v>
      </c>
      <c r="E23" s="31">
        <f t="shared" si="5"/>
        <v>5505.9866962305996</v>
      </c>
      <c r="F23" s="31">
        <f t="shared" si="6"/>
        <v>22.549999999999997</v>
      </c>
      <c r="G23" s="31">
        <f t="shared" si="7"/>
        <v>22.549999999999997</v>
      </c>
      <c r="H23" s="21">
        <f t="shared" si="8"/>
        <v>124160</v>
      </c>
      <c r="I23" s="31">
        <f t="shared" si="9"/>
        <v>5505.9866962305996</v>
      </c>
      <c r="J23" s="33">
        <v>0.81</v>
      </c>
      <c r="K23" s="27">
        <v>3894</v>
      </c>
      <c r="L23" s="25" t="s">
        <v>32</v>
      </c>
      <c r="M23" s="33">
        <v>21.74</v>
      </c>
      <c r="N23" s="27">
        <v>120266</v>
      </c>
      <c r="O23" s="22">
        <v>0</v>
      </c>
      <c r="P23" s="22">
        <v>0</v>
      </c>
      <c r="Q23" s="27">
        <v>0</v>
      </c>
      <c r="R23" s="27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</row>
    <row r="24" spans="1:24" s="8" customFormat="1" ht="24.95" customHeight="1" x14ac:dyDescent="0.25">
      <c r="A24" s="25" t="s">
        <v>33</v>
      </c>
      <c r="B24" s="31">
        <f t="shared" si="2"/>
        <v>0</v>
      </c>
      <c r="C24" s="31">
        <f t="shared" si="3"/>
        <v>0</v>
      </c>
      <c r="D24" s="21">
        <f t="shared" si="4"/>
        <v>0</v>
      </c>
      <c r="E24" s="31">
        <v>0</v>
      </c>
      <c r="F24" s="31">
        <f t="shared" si="6"/>
        <v>0</v>
      </c>
      <c r="G24" s="31">
        <f t="shared" si="7"/>
        <v>0</v>
      </c>
      <c r="H24" s="21">
        <f t="shared" si="8"/>
        <v>0</v>
      </c>
      <c r="I24" s="31">
        <v>0</v>
      </c>
      <c r="J24" s="22">
        <v>0</v>
      </c>
      <c r="K24" s="22">
        <v>0</v>
      </c>
      <c r="L24" s="25" t="s">
        <v>33</v>
      </c>
      <c r="M24" s="22">
        <v>0</v>
      </c>
      <c r="N24" s="22">
        <v>0</v>
      </c>
      <c r="O24" s="22">
        <v>0</v>
      </c>
      <c r="P24" s="22">
        <v>0</v>
      </c>
      <c r="Q24" s="28">
        <v>0</v>
      </c>
      <c r="R24" s="28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</row>
    <row r="25" spans="1:24" s="8" customFormat="1" ht="24.95" customHeight="1" x14ac:dyDescent="0.25">
      <c r="A25" s="25" t="s">
        <v>47</v>
      </c>
      <c r="B25" s="31">
        <f t="shared" si="2"/>
        <v>0</v>
      </c>
      <c r="C25" s="31">
        <f t="shared" si="3"/>
        <v>0</v>
      </c>
      <c r="D25" s="21">
        <f t="shared" si="4"/>
        <v>0</v>
      </c>
      <c r="E25" s="31">
        <v>0</v>
      </c>
      <c r="F25" s="31">
        <f t="shared" si="6"/>
        <v>0</v>
      </c>
      <c r="G25" s="31">
        <f t="shared" si="7"/>
        <v>0</v>
      </c>
      <c r="H25" s="21">
        <f t="shared" si="8"/>
        <v>0</v>
      </c>
      <c r="I25" s="31">
        <v>0</v>
      </c>
      <c r="J25" s="22">
        <v>0</v>
      </c>
      <c r="K25" s="22">
        <v>0</v>
      </c>
      <c r="L25" s="25" t="s">
        <v>34</v>
      </c>
      <c r="M25" s="22">
        <v>0</v>
      </c>
      <c r="N25" s="22">
        <v>0</v>
      </c>
      <c r="O25" s="22">
        <v>0</v>
      </c>
      <c r="P25" s="22">
        <v>0</v>
      </c>
      <c r="Q25" s="28">
        <v>0</v>
      </c>
      <c r="R25" s="28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</row>
    <row r="26" spans="1:24" s="8" customFormat="1" ht="24.95" customHeight="1" x14ac:dyDescent="0.25">
      <c r="A26" s="25" t="s">
        <v>48</v>
      </c>
      <c r="B26" s="31">
        <f t="shared" si="2"/>
        <v>0</v>
      </c>
      <c r="C26" s="31">
        <f t="shared" si="3"/>
        <v>0</v>
      </c>
      <c r="D26" s="21">
        <f t="shared" si="4"/>
        <v>0</v>
      </c>
      <c r="E26" s="31">
        <v>0</v>
      </c>
      <c r="F26" s="31">
        <f t="shared" si="6"/>
        <v>0</v>
      </c>
      <c r="G26" s="31">
        <f t="shared" si="7"/>
        <v>0</v>
      </c>
      <c r="H26" s="21">
        <f t="shared" si="8"/>
        <v>0</v>
      </c>
      <c r="I26" s="31">
        <v>0</v>
      </c>
      <c r="J26" s="22">
        <v>0</v>
      </c>
      <c r="K26" s="22">
        <v>0</v>
      </c>
      <c r="L26" s="25" t="s">
        <v>35</v>
      </c>
      <c r="M26" s="22">
        <v>0</v>
      </c>
      <c r="N26" s="22">
        <v>0</v>
      </c>
      <c r="O26" s="22">
        <v>0</v>
      </c>
      <c r="P26" s="22">
        <v>0</v>
      </c>
      <c r="Q26" s="28">
        <v>0</v>
      </c>
      <c r="R26" s="28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</row>
    <row r="27" spans="1:24" s="8" customFormat="1" ht="24.95" customHeight="1" x14ac:dyDescent="0.25">
      <c r="A27" s="26" t="s">
        <v>36</v>
      </c>
      <c r="B27" s="32">
        <f t="shared" si="2"/>
        <v>0.3</v>
      </c>
      <c r="C27" s="32">
        <f t="shared" si="3"/>
        <v>0.3</v>
      </c>
      <c r="D27" s="24">
        <f t="shared" si="4"/>
        <v>1393</v>
      </c>
      <c r="E27" s="32">
        <v>0</v>
      </c>
      <c r="F27" s="32">
        <f t="shared" si="6"/>
        <v>0.3</v>
      </c>
      <c r="G27" s="32">
        <f t="shared" si="7"/>
        <v>0.3</v>
      </c>
      <c r="H27" s="24">
        <f t="shared" si="8"/>
        <v>1393</v>
      </c>
      <c r="I27" s="32">
        <v>0</v>
      </c>
      <c r="J27" s="23">
        <v>0</v>
      </c>
      <c r="K27" s="23">
        <v>0</v>
      </c>
      <c r="L27" s="26" t="s">
        <v>36</v>
      </c>
      <c r="M27" s="39">
        <v>0</v>
      </c>
      <c r="N27" s="23">
        <v>0</v>
      </c>
      <c r="O27" s="41">
        <v>0.15</v>
      </c>
      <c r="P27" s="23">
        <v>697</v>
      </c>
      <c r="Q27" s="40">
        <v>0</v>
      </c>
      <c r="R27" s="40">
        <v>0</v>
      </c>
      <c r="S27" s="41">
        <v>0.15</v>
      </c>
      <c r="T27" s="23">
        <v>696</v>
      </c>
      <c r="U27" s="23">
        <v>0</v>
      </c>
      <c r="V27" s="23">
        <v>0</v>
      </c>
      <c r="W27" s="23">
        <v>0</v>
      </c>
      <c r="X27" s="23">
        <v>0</v>
      </c>
    </row>
    <row r="28" spans="1:24" x14ac:dyDescent="0.3">
      <c r="A28" s="12"/>
      <c r="B28" s="12"/>
      <c r="C28" s="13"/>
      <c r="D28" s="13"/>
      <c r="E28" s="13"/>
      <c r="F28" s="13"/>
      <c r="G28" s="12"/>
      <c r="H28" s="12"/>
      <c r="I28" s="12"/>
      <c r="J28" s="12"/>
      <c r="K28" s="19" t="s">
        <v>52</v>
      </c>
      <c r="L28" s="10"/>
      <c r="M28" s="10"/>
      <c r="N28" s="10"/>
      <c r="O28" s="10"/>
      <c r="W28" s="2"/>
      <c r="X28" s="2"/>
    </row>
    <row r="29" spans="1:24" x14ac:dyDescent="0.3">
      <c r="A29" s="14" t="s">
        <v>40</v>
      </c>
      <c r="B29" s="12"/>
      <c r="C29" s="15" t="s">
        <v>41</v>
      </c>
      <c r="D29" s="12"/>
      <c r="E29" s="12"/>
      <c r="F29" s="16" t="s">
        <v>42</v>
      </c>
      <c r="G29" s="12"/>
      <c r="H29" s="12"/>
      <c r="I29" s="17" t="s">
        <v>43</v>
      </c>
      <c r="J29" s="12"/>
      <c r="K29" s="12"/>
    </row>
    <row r="30" spans="1:24" x14ac:dyDescent="0.3">
      <c r="A30" s="62"/>
      <c r="B30" s="62"/>
      <c r="C30" s="62"/>
      <c r="D30" s="12"/>
      <c r="E30" s="12"/>
      <c r="F30" s="16" t="s">
        <v>44</v>
      </c>
      <c r="G30" s="12"/>
      <c r="H30" s="12"/>
      <c r="I30" s="12"/>
      <c r="J30" s="12"/>
      <c r="K30" s="12"/>
    </row>
    <row r="31" spans="1:24" x14ac:dyDescent="0.3">
      <c r="A31" s="38" t="s">
        <v>49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24" x14ac:dyDescent="0.3">
      <c r="A32" s="16" t="s">
        <v>45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4" spans="4:4" x14ac:dyDescent="0.3">
      <c r="D34" s="29"/>
    </row>
  </sheetData>
  <mergeCells count="31">
    <mergeCell ref="W1:X1"/>
    <mergeCell ref="W2:X2"/>
    <mergeCell ref="L3:X3"/>
    <mergeCell ref="L4:X4"/>
    <mergeCell ref="V7:V8"/>
    <mergeCell ref="M6:T6"/>
    <mergeCell ref="X7:X8"/>
    <mergeCell ref="L5:X5"/>
    <mergeCell ref="A30:C30"/>
    <mergeCell ref="Q7:R7"/>
    <mergeCell ref="U6:X6"/>
    <mergeCell ref="U7:U8"/>
    <mergeCell ref="M7:N7"/>
    <mergeCell ref="O7:P7"/>
    <mergeCell ref="S7:T7"/>
    <mergeCell ref="F6:K6"/>
    <mergeCell ref="W7:W8"/>
    <mergeCell ref="L6:L8"/>
    <mergeCell ref="F7:I7"/>
    <mergeCell ref="J7:K7"/>
    <mergeCell ref="J1:K1"/>
    <mergeCell ref="B7:B8"/>
    <mergeCell ref="C7:C8"/>
    <mergeCell ref="D7:D8"/>
    <mergeCell ref="A4:K4"/>
    <mergeCell ref="A5:K5"/>
    <mergeCell ref="A3:K3"/>
    <mergeCell ref="A6:A8"/>
    <mergeCell ref="E7:E8"/>
    <mergeCell ref="B6:E6"/>
    <mergeCell ref="J2:K2"/>
  </mergeCells>
  <phoneticPr fontId="1" type="noConversion"/>
  <pageMargins left="0.70866141732283472" right="0.6692913385826772" top="0.78740157480314965" bottom="0.43307086614173229" header="0.51181102362204722" footer="0.51181102362204722"/>
  <pageSetup paperSize="9" scale="60" orientation="landscape" r:id="rId1"/>
  <headerFooter alignWithMargins="0">
    <oddFooter xml:space="preserve">&amp;C
</oddFooter>
  </headerFooter>
  <colBreaks count="1" manualBreakCount="1">
    <brk id="11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糧食處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糧食處</dc:creator>
  <cp:lastModifiedBy>蔡詩璇</cp:lastModifiedBy>
  <cp:lastPrinted>2019-06-14T06:05:23Z</cp:lastPrinted>
  <dcterms:created xsi:type="dcterms:W3CDTF">2000-03-13T06:54:14Z</dcterms:created>
  <dcterms:modified xsi:type="dcterms:W3CDTF">2026-06-24T03:18:05Z</dcterms:modified>
</cp:coreProperties>
</file>